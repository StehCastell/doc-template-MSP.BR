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sitos" sheetId="1" state="visible" r:id="rId1"/>
    <sheet name="Casos_de_Uso" sheetId="2" state="visible" r:id="rId2"/>
    <sheet name="Testes" sheetId="3" state="visible" r:id="rId3"/>
    <sheet name="Defeitos" sheetId="4" state="visible" r:id="rId4"/>
    <sheet name="Mudancas" sheetId="5" state="visible" r:id="rId5"/>
    <sheet name="Analises" sheetId="6" state="visible" r:id="rId6"/>
    <sheet name="Dashboards" sheetId="7" state="visible" r:id="rId7"/>
    <sheet name="Listas" sheetId="8" state="visible" r:id="rId8"/>
  </sheets>
  <definedNames>
    <definedName name="_xlnm._FilterDatabase" localSheetId="0" hidden="1">'Requisitos'!$A$1:$E$1</definedName>
    <definedName name="_xlnm._FilterDatabase" localSheetId="1" hidden="1">'Casos_de_Uso'!$A$1:$C$1</definedName>
    <definedName name="_xlnm._FilterDatabase" localSheetId="2" hidden="1">'Testes'!$A$1:$D$1</definedName>
    <definedName name="_xlnm._FilterDatabase" localSheetId="3" hidden="1">'Defeitos'!$A$1:$D$1</definedName>
    <definedName name="_xlnm._FilterDatabase" localSheetId="4" hidden="1">'Mudancas'!$A$1:$D$1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dos Requisitos</a:t>
            </a:r>
          </a:p>
        </rich>
      </tx>
    </title>
    <plotArea>
      <pieChart>
        <varyColors val="1"/>
        <ser>
          <idx val="0"/>
          <order val="0"/>
          <tx>
            <strRef>
              <f>'Analises'!E3</f>
            </strRef>
          </tx>
          <spPr>
            <a:ln>
              <a:prstDash val="solid"/>
            </a:ln>
          </spPr>
          <cat>
            <strRef>
              <f>'Analises'!$D$4:$D$8</f>
            </strRef>
          </cat>
          <val>
            <numRef>
              <f>'Analises'!$E$4:$E$8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Cobertura (Casos de Uso / Testes)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'Analises'!E17</f>
            </strRef>
          </tx>
          <spPr>
            <a:ln>
              <a:prstDash val="solid"/>
            </a:ln>
          </spPr>
          <cat>
            <strRef>
              <f>'Analises'!$D$18:$D$19</f>
            </strRef>
          </cat>
          <val>
            <numRef>
              <f>'Analises'!$E$18:$E$19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Relação Requisito x Defeito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'Analises'!I3</f>
            </strRef>
          </tx>
          <spPr>
            <a:ln>
              <a:prstDash val="solid"/>
            </a:ln>
          </spPr>
          <cat>
            <strRef>
              <f>'Analises'!$H$4:$H$18</f>
            </strRef>
          </cat>
          <val>
            <numRef>
              <f>'Analises'!$I$4:$I$18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ID Requisito</t>
        </is>
      </c>
      <c r="B1" s="1" t="inlineStr">
        <is>
          <t>Descrição</t>
        </is>
      </c>
      <c r="C1" s="1" t="inlineStr">
        <is>
          <t>Tipo</t>
        </is>
      </c>
      <c r="D1" s="1" t="inlineStr">
        <is>
          <t>Prioridade</t>
        </is>
      </c>
      <c r="E1" s="1" t="inlineStr">
        <is>
          <t>Status</t>
        </is>
      </c>
    </row>
  </sheetData>
  <autoFilter ref="A1:E1"/>
  <conditionalFormatting sqref="E2:E500">
    <cfRule type="expression" priority="1" dxfId="0">
      <formula>EXACT($E2,"Concluído")</formula>
    </cfRule>
  </conditionalFormatting>
  <dataValidations count="2">
    <dataValidation sqref="C2:C500" showDropDown="0" showInputMessage="0" showErrorMessage="0" allowBlank="1" type="list">
      <formula1>=Listas!$B$2:$B$4</formula1>
    </dataValidation>
    <dataValidation sqref="E2:E500" showDropDown="0" showInputMessage="0" showErrorMessage="0" allowBlank="1" type="list">
      <formula1>=Listas!$A$2:$A$6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</cols>
  <sheetData>
    <row r="1" ht="28" customHeight="1">
      <c r="A1" s="1" t="inlineStr">
        <is>
          <t>ID Caso de Uso</t>
        </is>
      </c>
      <c r="B1" s="1" t="inlineStr">
        <is>
          <t>Requisito Relacionado</t>
        </is>
      </c>
      <c r="C1" s="1" t="inlineStr">
        <is>
          <t>Descrição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ID Teste</t>
        </is>
      </c>
      <c r="B1" s="1" t="inlineStr">
        <is>
          <t>Caso de Uso</t>
        </is>
      </c>
      <c r="C1" s="1" t="inlineStr">
        <is>
          <t>Status</t>
        </is>
      </c>
      <c r="D1" s="1" t="inlineStr">
        <is>
          <t>Resultado</t>
        </is>
      </c>
    </row>
  </sheetData>
  <autoFilter ref="A1:D1"/>
  <dataValidations count="1">
    <dataValidation sqref="C2:C500" showDropDown="0" showInputMessage="0" showErrorMessage="0" allowBlank="1" type="list">
      <formula1>=Listas!$E$2:$E$5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16" customWidth="1" min="4" max="4"/>
  </cols>
  <sheetData>
    <row r="1" ht="28" customHeight="1">
      <c r="A1" s="1" t="inlineStr">
        <is>
          <t>ID Defeito</t>
        </is>
      </c>
      <c r="B1" s="1" t="inlineStr">
        <is>
          <t>Requisito Relacionado</t>
        </is>
      </c>
      <c r="C1" s="1" t="inlineStr">
        <is>
          <t>Severidade</t>
        </is>
      </c>
      <c r="D1" s="1" t="inlineStr">
        <is>
          <t>Status</t>
        </is>
      </c>
    </row>
  </sheetData>
  <autoFilter ref="A1:D1"/>
  <dataValidations count="2">
    <dataValidation sqref="C2:C500" showDropDown="0" showInputMessage="0" showErrorMessage="0" allowBlank="1" type="list">
      <formula1>=Listas!$C$2:$C$5</formula1>
    </dataValidation>
    <dataValidation sqref="D2:D500" showDropDown="0" showInputMessage="0" showErrorMessage="0" allowBlank="1" type="list">
      <formula1>=Listas!$A$2:$A$6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16" customWidth="1" min="4" max="4"/>
  </cols>
  <sheetData>
    <row r="1" ht="28" customHeight="1">
      <c r="A1" s="1" t="inlineStr">
        <is>
          <t>ID Mudança</t>
        </is>
      </c>
      <c r="B1" s="1" t="inlineStr">
        <is>
          <t>Requisito Afetado</t>
        </is>
      </c>
      <c r="C1" s="1" t="inlineStr">
        <is>
          <t>Tipo de Mudança</t>
        </is>
      </c>
      <c r="D1" s="1" t="inlineStr">
        <is>
          <t>Status</t>
        </is>
      </c>
    </row>
  </sheetData>
  <autoFilter ref="A1:D1"/>
  <dataValidations count="2">
    <dataValidation sqref="C2:C500" showDropDown="0" showInputMessage="0" showErrorMessage="0" allowBlank="1" type="list">
      <formula1>=Listas!$D$2:$D$5</formula1>
    </dataValidation>
    <dataValidation sqref="D2:D500" showDropDown="0" showInputMessage="0" showErrorMessage="0" allowBlank="1" type="list">
      <formula1>=Listas!$A$2:$A$6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2" customWidth="1" min="4" max="4"/>
    <col width="12" customWidth="1" min="5" max="5"/>
    <col width="22" customWidth="1" min="8" max="8"/>
    <col width="12" customWidth="1" min="9" max="9"/>
  </cols>
  <sheetData>
    <row r="1">
      <c r="A1" s="2" t="inlineStr">
        <is>
          <t>Análises de Rastreabilidade</t>
        </is>
      </c>
    </row>
    <row r="2">
      <c r="A2" s="3" t="inlineStr">
        <is>
          <t>Indicadores (KPIs)</t>
        </is>
      </c>
      <c r="D2" s="3" t="inlineStr">
        <is>
          <t>Requisitos por Status</t>
        </is>
      </c>
      <c r="H2" s="3" t="inlineStr">
        <is>
          <t>Defeitos por Requisito</t>
        </is>
      </c>
    </row>
    <row r="3">
      <c r="A3" s="4" t="inlineStr">
        <is>
          <t>Total de Requisitos</t>
        </is>
      </c>
      <c r="B3">
        <f>COUNTA(Requisitos!A2:A500)</f>
        <v/>
      </c>
      <c r="D3" s="4" t="inlineStr">
        <is>
          <t>Categoria</t>
        </is>
      </c>
      <c r="E3" s="4" t="inlineStr">
        <is>
          <t>Quantidade</t>
        </is>
      </c>
      <c r="H3" s="4" t="inlineStr">
        <is>
          <t>Requisito</t>
        </is>
      </c>
      <c r="I3" s="4" t="inlineStr">
        <is>
          <t>Qtd Defeitos</t>
        </is>
      </c>
    </row>
    <row r="4">
      <c r="A4" s="4" t="inlineStr">
        <is>
          <t>Requisitos com Caso de Uso</t>
        </is>
      </c>
      <c r="B4">
        <f>SUMPRODUCT((Requisitos!A2:A500&lt;&gt;"")*(COUNTIF(Casos_de_Uso!B2:B500,Requisitos!A2:A500)&gt;0))</f>
        <v/>
      </c>
      <c r="D4" t="inlineStr">
        <is>
          <t>Planejado</t>
        </is>
      </c>
      <c r="E4">
        <f>COUNTIF(Requisitos!E2:E500,$D4)</f>
        <v/>
      </c>
      <c r="I4">
        <f>IF($H4="","",COUNTIF(Defeitos!B2:B500,$H4))</f>
        <v/>
      </c>
    </row>
    <row r="5">
      <c r="A5" s="4" t="inlineStr">
        <is>
          <t>Requisitos com Teste</t>
        </is>
      </c>
      <c r="B5">
        <f>SUMPRODUCT((Requisitos!A2:A500&lt;&gt;"")*(COUNTIF(Casos_de_Uso!B2:B500,Requisitos!A2:A500)&gt;0))</f>
        <v/>
      </c>
      <c r="D5" t="inlineStr">
        <is>
          <t>Em Desenvolvimento</t>
        </is>
      </c>
      <c r="E5">
        <f>COUNTIF(Requisitos!E2:E500,$D5)</f>
        <v/>
      </c>
      <c r="I5">
        <f>IF($H5="","",COUNTIF(Defeitos!B2:B500,$H5))</f>
        <v/>
      </c>
    </row>
    <row r="6">
      <c r="A6" s="4" t="inlineStr">
        <is>
          <t>Requisitos com Defeito</t>
        </is>
      </c>
      <c r="B6">
        <f>SUMPRODUCT((Requisitos!A2:A500&lt;&gt;"")*(COUNTIF(Defeitos!B2:B500,Requisitos!A2:A500)&gt;0))</f>
        <v/>
      </c>
      <c r="D6" t="inlineStr">
        <is>
          <t>Em Teste</t>
        </is>
      </c>
      <c r="E6">
        <f>COUNTIF(Requisitos!E2:E500,$D6)</f>
        <v/>
      </c>
      <c r="I6">
        <f>IF($H6="","",COUNTIF(Defeitos!B2:B500,$H6))</f>
        <v/>
      </c>
    </row>
    <row r="7">
      <c r="A7" s="4" t="inlineStr">
        <is>
          <t>Requisitos SEM Teste</t>
        </is>
      </c>
      <c r="B7">
        <f>B3-B5</f>
        <v/>
      </c>
      <c r="D7" t="inlineStr">
        <is>
          <t>Concluído</t>
        </is>
      </c>
      <c r="E7">
        <f>COUNTIF(Requisitos!E2:E500,$D7)</f>
        <v/>
      </c>
      <c r="I7">
        <f>IF($H7="","",COUNTIF(Defeitos!B2:B500,$H7))</f>
        <v/>
      </c>
    </row>
    <row r="8">
      <c r="A8" s="4" t="inlineStr">
        <is>
          <t>Cobertura de Testes (%)</t>
        </is>
      </c>
      <c r="B8">
        <f>IFERROR(B5/B3*100,"")</f>
        <v/>
      </c>
      <c r="D8" t="inlineStr">
        <is>
          <t>Cancelado</t>
        </is>
      </c>
      <c r="E8">
        <f>COUNTIF(Requisitos!E2:E500,$D8)</f>
        <v/>
      </c>
      <c r="I8">
        <f>IF($H8="","",COUNTIF(Defeitos!B2:B500,$H8))</f>
        <v/>
      </c>
    </row>
    <row r="9">
      <c r="A9" s="4" t="inlineStr">
        <is>
          <t>Cobertura de Casos de Uso (%)</t>
        </is>
      </c>
      <c r="B9">
        <f>IFERROR(B4/B3*100,"")</f>
        <v/>
      </c>
      <c r="I9">
        <f>IF($H9="","",COUNTIF(Defeitos!B2:B500,$H9))</f>
        <v/>
      </c>
    </row>
    <row r="10">
      <c r="D10" s="3" t="inlineStr">
        <is>
          <t>Requisitos por Tipo</t>
        </is>
      </c>
      <c r="I10">
        <f>IF($H10="","",COUNTIF(Defeitos!B2:B500,$H10))</f>
        <v/>
      </c>
    </row>
    <row r="11">
      <c r="D11" s="4" t="inlineStr">
        <is>
          <t>Categoria</t>
        </is>
      </c>
      <c r="E11" s="4" t="inlineStr">
        <is>
          <t>Quantidade</t>
        </is>
      </c>
      <c r="I11">
        <f>IF($H11="","",COUNTIF(Defeitos!B2:B500,$H11))</f>
        <v/>
      </c>
    </row>
    <row r="12">
      <c r="D12" t="inlineStr">
        <is>
          <t>Funcional</t>
        </is>
      </c>
      <c r="E12">
        <f>COUNTIF(Requisitos!C2:C500,$D12)</f>
        <v/>
      </c>
      <c r="I12">
        <f>IF($H12="","",COUNTIF(Defeitos!B2:B500,$H12))</f>
        <v/>
      </c>
    </row>
    <row r="13">
      <c r="D13" t="inlineStr">
        <is>
          <t>Não Funcional</t>
        </is>
      </c>
      <c r="E13">
        <f>COUNTIF(Requisitos!C2:C500,$D13)</f>
        <v/>
      </c>
      <c r="I13">
        <f>IF($H13="","",COUNTIF(Defeitos!B2:B500,$H13))</f>
        <v/>
      </c>
    </row>
    <row r="14">
      <c r="D14" t="inlineStr">
        <is>
          <t>Regra de Negócio</t>
        </is>
      </c>
      <c r="E14">
        <f>COUNTIF(Requisitos!C2:C500,$D14)</f>
        <v/>
      </c>
      <c r="I14">
        <f>IF($H14="","",COUNTIF(Defeitos!B2:B500,$H14))</f>
        <v/>
      </c>
    </row>
    <row r="15">
      <c r="I15">
        <f>IF($H15="","",COUNTIF(Defeitos!B2:B500,$H15))</f>
        <v/>
      </c>
    </row>
    <row r="16">
      <c r="D16" s="3" t="inlineStr">
        <is>
          <t>Cobertura (Casos de Uso / Testes)</t>
        </is>
      </c>
      <c r="I16">
        <f>IF($H16="","",COUNTIF(Defeitos!B2:B500,$H16))</f>
        <v/>
      </c>
    </row>
    <row r="17">
      <c r="D17" s="4" t="inlineStr">
        <is>
          <t>Categoria</t>
        </is>
      </c>
      <c r="E17" s="4" t="inlineStr">
        <is>
          <t>%</t>
        </is>
      </c>
      <c r="I17">
        <f>IF($H17="","",COUNTIF(Defeitos!B2:B500,$H17))</f>
        <v/>
      </c>
    </row>
    <row r="18">
      <c r="D18" t="inlineStr">
        <is>
          <t>Cobertura de Casos de Uso</t>
        </is>
      </c>
      <c r="E18">
        <f>B9</f>
        <v/>
      </c>
      <c r="I18">
        <f>IF($H18="","",COUNTIF(Defeitos!B2:B500,$H18))</f>
        <v/>
      </c>
    </row>
    <row r="19">
      <c r="D19" t="inlineStr">
        <is>
          <t>Cobertura de Testes</t>
        </is>
      </c>
      <c r="E19">
        <f>B8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5" t="inlineStr">
        <is>
          <t>Painel de Rastreabilidade</t>
        </is>
      </c>
    </row>
    <row r="3">
      <c r="A3" s="3" t="inlineStr">
        <is>
          <t>Indicadores (KPIs)</t>
        </is>
      </c>
    </row>
    <row r="4">
      <c r="A4" s="4" t="inlineStr">
        <is>
          <t>Total de Requisitos</t>
        </is>
      </c>
      <c r="B4">
        <f>Analises!B3</f>
        <v/>
      </c>
    </row>
    <row r="5">
      <c r="A5" s="4" t="inlineStr">
        <is>
          <t>Cobertura de Testes (%)</t>
        </is>
      </c>
      <c r="B5">
        <f>Analises!B8</f>
        <v/>
      </c>
    </row>
    <row r="6">
      <c r="A6" s="4" t="inlineStr">
        <is>
          <t>Cobertura de Casos de Uso (%)</t>
        </is>
      </c>
      <c r="B6">
        <f>Analises!B9</f>
        <v/>
      </c>
    </row>
    <row r="7">
      <c r="A7" s="4" t="inlineStr">
        <is>
          <t>Requisitos SEM Teste</t>
        </is>
      </c>
      <c r="B7">
        <f>Analises!B7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6" t="inlineStr">
        <is>
          <t>Status</t>
        </is>
      </c>
      <c r="B1" s="6" t="inlineStr">
        <is>
          <t>Tipo de Requisito</t>
        </is>
      </c>
      <c r="C1" s="6" t="inlineStr">
        <is>
          <t>Severidade</t>
        </is>
      </c>
      <c r="D1" s="6" t="inlineStr">
        <is>
          <t>Tipo de Mudança</t>
        </is>
      </c>
      <c r="E1" s="6" t="inlineStr">
        <is>
          <t>Status Teste</t>
        </is>
      </c>
    </row>
    <row r="2">
      <c r="A2" t="inlineStr">
        <is>
          <t>Planejado</t>
        </is>
      </c>
      <c r="B2" t="inlineStr">
        <is>
          <t>Funcional</t>
        </is>
      </c>
      <c r="C2" t="inlineStr">
        <is>
          <t>Crítica</t>
        </is>
      </c>
      <c r="D2" t="inlineStr">
        <is>
          <t>Inclusão</t>
        </is>
      </c>
      <c r="E2" t="inlineStr">
        <is>
          <t>Não Executado</t>
        </is>
      </c>
    </row>
    <row r="3">
      <c r="A3" t="inlineStr">
        <is>
          <t>Em Desenvolvimento</t>
        </is>
      </c>
      <c r="B3" t="inlineStr">
        <is>
          <t>Não Funcional</t>
        </is>
      </c>
      <c r="C3" t="inlineStr">
        <is>
          <t>Alta</t>
        </is>
      </c>
      <c r="D3" t="inlineStr">
        <is>
          <t>Alteração</t>
        </is>
      </c>
      <c r="E3" t="inlineStr">
        <is>
          <t>Aprovado</t>
        </is>
      </c>
    </row>
    <row r="4">
      <c r="A4" t="inlineStr">
        <is>
          <t>Em Teste</t>
        </is>
      </c>
      <c r="B4" t="inlineStr">
        <is>
          <t>Regra de Negócio</t>
        </is>
      </c>
      <c r="C4" t="inlineStr">
        <is>
          <t>Média</t>
        </is>
      </c>
      <c r="D4" t="inlineStr">
        <is>
          <t>Exclusão</t>
        </is>
      </c>
      <c r="E4" t="inlineStr">
        <is>
          <t>Reprovado</t>
        </is>
      </c>
    </row>
    <row r="5">
      <c r="A5" t="inlineStr">
        <is>
          <t>Concluído</t>
        </is>
      </c>
      <c r="C5" t="inlineStr">
        <is>
          <t>Baixa</t>
        </is>
      </c>
      <c r="D5" t="inlineStr">
        <is>
          <t>Correção</t>
        </is>
      </c>
      <c r="E5" t="inlineStr">
        <is>
          <t>Bloqueado</t>
        </is>
      </c>
    </row>
    <row r="6">
      <c r="A6" t="inlineStr">
        <is>
          <t>Cancelado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2026-06-06T17:24:05Z</dcterms:created>
  <dcterms:modified xsi:type="dcterms:W3CDTF">2026-06-06T17:24:05Z</dcterms:modified>
</cp:coreProperties>
</file>